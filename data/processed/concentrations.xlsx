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8E0CD72-D554-4590-A5B0-C5920EBD3799}" xr6:coauthVersionLast="47" xr6:coauthVersionMax="47" xr10:uidLastSave="{00000000-0000-0000-0000-000000000000}"/>
  <bookViews>
    <workbookView xWindow="3067" yWindow="3067" windowWidth="19523" windowHeight="9983" xr2:uid="{00000000-000D-0000-FFFF-FFFF00000000}"/>
  </bookViews>
  <sheets>
    <sheet name="Sheet1" sheetId="1" r:id="rId1"/>
  </sheets>
  <definedNames>
    <definedName name="_xlnm._FilterDatabase" localSheetId="0" hidden="1">Sheet1!$A$1:$E$59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5" i="1" l="1"/>
  <c r="E54" i="1"/>
  <c r="E53" i="1"/>
  <c r="E52" i="1"/>
  <c r="E51" i="1"/>
  <c r="E50" i="1"/>
  <c r="E49" i="1"/>
  <c r="E46" i="1"/>
  <c r="E47" i="1"/>
  <c r="E48" i="1"/>
  <c r="E44" i="1"/>
  <c r="E45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C5" i="1"/>
  <c r="C3" i="1"/>
  <c r="E3" i="1" s="1"/>
  <c r="E2" i="1"/>
  <c r="E5" i="1"/>
  <c r="E6" i="1"/>
  <c r="E7" i="1"/>
  <c r="E8" i="1"/>
  <c r="E9" i="1"/>
  <c r="E11" i="1"/>
  <c r="E12" i="1"/>
  <c r="D10" i="1"/>
  <c r="E10" i="1" s="1"/>
  <c r="E4" i="1"/>
</calcChain>
</file>

<file path=xl/sharedStrings.xml><?xml version="1.0" encoding="utf-8"?>
<sst xmlns="http://schemas.openxmlformats.org/spreadsheetml/2006/main" count="115" uniqueCount="68">
  <si>
    <t>date</t>
  </si>
  <si>
    <t>file</t>
  </si>
  <si>
    <t>17-12-2024</t>
  </si>
  <si>
    <t>sample8-BMAA+CuSO4-3000-1k-pw=10-ma=10-rg=500-4scans.dat</t>
  </si>
  <si>
    <t>sample6-BMAA+CuSO4-3000-1k-pw=10-ma=10-rg=500-4scans.dat</t>
  </si>
  <si>
    <t>sample12-BMAA+CuSO4-3000-1k-pw=10-ma=10-rg=500-4scans.dat</t>
  </si>
  <si>
    <t>sample9-BMAA+CuSO4+KNO3-3000-1k-pw=10-ma=10-rg=500-4scans.dat</t>
  </si>
  <si>
    <t>sample11-BMAA+CuSO4+KNO3-3000-1k-pw=10-ma=10-rg=500-4scans.dat</t>
  </si>
  <si>
    <t>sample10-BMAA+CuSO4-3000-1k-pw=10-ma=10-rg=500-4scans.dat</t>
  </si>
  <si>
    <t>sample7-BMAA+CuSO4+KNO3-3000-1k-pw=10-ma=10-rg=500-4scans.dat</t>
  </si>
  <si>
    <t>18-11-2024</t>
  </si>
  <si>
    <t>sample4-BMAA+CuSO4+BG110-3000-1k-pw=10-ma=10-rg=500.dat</t>
  </si>
  <si>
    <t>sample5-BMAA+CuSO4+BG11N-3000-1k-pw=10-ma=10-rg=500.dat</t>
  </si>
  <si>
    <t>05-12-2024</t>
  </si>
  <si>
    <t>sample1-BMAA+CuSO4+BG110-3000-1k-pw=10-ma=10-rg=500.dat</t>
  </si>
  <si>
    <t>30-09-2024</t>
  </si>
  <si>
    <t>sample14-BMAA+CuSO4-3000-1k-pw=10-ma=10-rg=500.dat</t>
  </si>
  <si>
    <t>sample12-BMAA+CuSO4-3000-1k-pw=10-ma=10-rg=500.dat</t>
  </si>
  <si>
    <t>sample9-BMAA+CuSO4-3000-1k-pw=10-ma=10-rg=500.dat</t>
  </si>
  <si>
    <t>sample11-BMAA+CuSO4-3000-1k-pw=10-ma=10-rg=500.dat</t>
  </si>
  <si>
    <t>sample8-BMAA+CuSO4-3000-1k-pw=10-ma=10-rg=500.dat</t>
  </si>
  <si>
    <t>16-12-2024</t>
  </si>
  <si>
    <t>sample5-BMAA+CuSO4-3000-1k-pw=10-ma=10-rg=500.dat</t>
  </si>
  <si>
    <t>sample7-BMAA+CuSO4-3000-1k-pw=10-ma=10-rg=500.dat</t>
  </si>
  <si>
    <t>sample10-BMAA+CuSO4-3000-1k-pw=10-ma=10-rg=500.dat</t>
  </si>
  <si>
    <t>sample6-BMAA+CuSO4-3000-1k-pw=10-ma=10-rg=500.dat</t>
  </si>
  <si>
    <t>sample13-BMAA+CuSO4-3000-1k-pw=10-ma=10-rg=500.dat</t>
  </si>
  <si>
    <t>sample4-BMAA+CuSO4-3000-1k-pw=10-ma=10-rg=500.dat</t>
  </si>
  <si>
    <t>sample4-BMAA+CuSO4+KNO3-3000-1k-pw=10-ma=10-rg=500-4scans.dat</t>
  </si>
  <si>
    <t>sample9-BMAA+CuSO4-3000-1k-pw=10-ma=10-rg=500-4scans.dat</t>
  </si>
  <si>
    <t>sample6-BMAA+CuSO4+KNO3-3000-1k-pw=10-ma=10-rg=500-4scans.dat</t>
  </si>
  <si>
    <t>sample7-BMAA+CuSO4-3000-1k-pw=10-ma=10-rg=500-4scans.dat</t>
  </si>
  <si>
    <t>25-11-2024</t>
  </si>
  <si>
    <t>sample7-BMAA+CuSO4+BG110-3000-1k-pw=10-ma=10-rg=500.dat</t>
  </si>
  <si>
    <t>sample11-BMAA+CuSO4+BG110-3000-1k-pw=10-ma=10-rg=500.dat</t>
  </si>
  <si>
    <t>sample4-BMAA+CuSO4+BG11N-3000-1k-pw=10-ma=10-rg=500.dat</t>
  </si>
  <si>
    <t>sample18-BMAA+CuSO4+BG11N-3000-1k-pw=10-ma=10-rg=500.dat</t>
  </si>
  <si>
    <t>sample3-BMAA+CuSO4+BG110-3000-1k-pw=10-ma=10-rg=500.dat</t>
  </si>
  <si>
    <t>sample26-BMAA+CuSO4+BG11N-3000-1k-pw=10-ma=10-rg=500.dat</t>
  </si>
  <si>
    <t>sample14-BMAA+CuSO4+BG11N-3000-1k-pw=10-ma=10-rg=500.dat</t>
  </si>
  <si>
    <t>sample20-BMAA+CuSO4+BG11N-3000-1k-pw=10-ma=10-rg=500.dat</t>
  </si>
  <si>
    <t>sample15-BMAA+CuSO4+BG110-3000-1k-pw=10-ma=10-rg=500.dat</t>
  </si>
  <si>
    <t>sample23-BMAA+CuSO4+BG110-3000-1k-pw=10-ma=10-rg=500.dat</t>
  </si>
  <si>
    <t>sample21-BMAA+CuSO4+BG110-3000-1k-pw=10-ma=10-rg=500.dat</t>
  </si>
  <si>
    <t>sample25-BMAA+CuSO4+BG110-3000-1k-pw=10-ma=10-rg=500.dat</t>
  </si>
  <si>
    <t>sample24-BMAA+CuSO4+BG11N-3000-1k-pw=10-ma=10-rg=500.dat</t>
  </si>
  <si>
    <t>sample13-BMAA+CuSO4+BG110-3000-1k-pw=10-ma=10-rg=500.dat</t>
  </si>
  <si>
    <t>sample10-BMAA+CuSO4+BG11N-3000-1k-pw=10-ma=10-rg=500.dat</t>
  </si>
  <si>
    <t>sample9-BMAA+CuSO4+BG110-3000-1k-pw=10-ma=10-rg=500.dat</t>
  </si>
  <si>
    <t>sample8-BMAA+CuSO4+BG11N-3000-1k-pw=10-ma=10-rg=500.dat</t>
  </si>
  <si>
    <t>sample17-BMAA+CuSO4+BG110-3000-1k-pw=10-ma=10-rg=500.dat</t>
  </si>
  <si>
    <t>sample12-BMAA+CuSO4+BG11N-3000-1k-pw=10-ma=10-rg=500.dat</t>
  </si>
  <si>
    <t>sample16-BMAA+CuSO4+BG11N-3000-1k-pw=10-ma=10-rg=500.dat</t>
  </si>
  <si>
    <t>sample19-BMAA+CuSO4+BG110-3000-1k-pw=10-ma=10-rg=500.dat</t>
  </si>
  <si>
    <t>30-11-2024</t>
  </si>
  <si>
    <t>sample9-BMAA+CuSO4+BG11N+Buf+KOH-3000-1k-pw=10-ma=10-rg=500.dat</t>
  </si>
  <si>
    <t>sample8-BMAA+CuSO4+BG11N+Buf+KOH-3000-1k-pw=10-ma=10-rg=500.dat</t>
  </si>
  <si>
    <t>sample3-BMAA+CuSO4+BG11N+Buf+KOH-3000-1k-pw=10-ma=10-rg=500.dat</t>
  </si>
  <si>
    <t>sample1-BMAA+CuSO4+BG11N+Buf+KOH-3000-1k-pw=10-ma=10-rg=500.dat</t>
  </si>
  <si>
    <t>sample5-BMAA+CuSO4+BG11N+Buf+KOH-3000-1k-pw=10-ma=10-rg=500.dat</t>
  </si>
  <si>
    <t>sample6-BMAA+CuSO4+BG11N+Buf+KOH-3000-1k-pw=10-ma=10-rg=500.dat</t>
  </si>
  <si>
    <t>sample7-BMAA+CuSO4+BG11N+Buf+KOH-3000-1k-pw=10-ma=10-rg=500.dat</t>
  </si>
  <si>
    <t>sample2-BMAA+CuSO4+BG11N+Buf+KOH-3000-1k-pw=10-ma=10-rg=500.dat</t>
  </si>
  <si>
    <t>BMAA start</t>
  </si>
  <si>
    <t>Cu start</t>
  </si>
  <si>
    <t>V Cu</t>
  </si>
  <si>
    <t>V BMAA</t>
  </si>
  <si>
    <t>V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</si>
</sst>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B5" sqref="B5"/>
    </sheetView>
  </sheetViews>
  <sheetFormatPr defaultRowHeight="14.25" x14ac:dyDescent="0.45"/>
  <cols>
    <col min="1" max="1" width="14.3984375" customWidth="1"/>
    <col min="2" max="2" width="54.06640625" customWidth="1"/>
    <col min="6" max="6" width="10.53125" customWidth="1"/>
  </cols>
  <sheetData>
    <row r="1" spans="1:7" x14ac:dyDescent="0.45">
      <c r="A1" s="1" t="s">
        <v>0</v>
      </c>
      <c r="B1" s="1" t="s">
        <v>1</v>
      </c>
      <c r="C1" s="3" t="s">
        <v>65</v>
      </c>
      <c r="D1" s="3" t="s">
        <v>66</v>
      </c>
      <c r="E1" s="3" t="s">
        <v>67</v>
      </c>
      <c r="F1" s="3" t="s">
        <v>63</v>
      </c>
      <c r="G1" s="3" t="s">
        <v>64</v>
      </c>
    </row>
    <row r="2" spans="1:7" x14ac:dyDescent="0.45">
      <c r="A2" s="2" t="s">
        <v>15</v>
      </c>
      <c r="B2" t="s">
        <v>24</v>
      </c>
      <c r="C2">
        <v>180</v>
      </c>
      <c r="D2">
        <v>150</v>
      </c>
      <c r="E2">
        <f t="shared" ref="E2:E3" si="0">C2+D2</f>
        <v>330</v>
      </c>
      <c r="F2">
        <v>32.799999999999997</v>
      </c>
      <c r="G2">
        <v>35</v>
      </c>
    </row>
    <row r="3" spans="1:7" x14ac:dyDescent="0.45">
      <c r="A3" s="2" t="s">
        <v>15</v>
      </c>
      <c r="B3" t="s">
        <v>19</v>
      </c>
      <c r="C3">
        <f>60*3.5</f>
        <v>210</v>
      </c>
      <c r="D3">
        <v>150</v>
      </c>
      <c r="E3">
        <f t="shared" si="0"/>
        <v>360</v>
      </c>
      <c r="F3">
        <v>32.799999999999997</v>
      </c>
      <c r="G3">
        <v>35</v>
      </c>
    </row>
    <row r="4" spans="1:7" x14ac:dyDescent="0.45">
      <c r="A4" s="2" t="s">
        <v>15</v>
      </c>
      <c r="B4" t="s">
        <v>17</v>
      </c>
      <c r="C4">
        <v>240</v>
      </c>
      <c r="D4">
        <v>150</v>
      </c>
      <c r="E4">
        <f>C4+D4</f>
        <v>390</v>
      </c>
      <c r="F4">
        <v>32.799999999999997</v>
      </c>
      <c r="G4">
        <v>35</v>
      </c>
    </row>
    <row r="5" spans="1:7" x14ac:dyDescent="0.45">
      <c r="A5" s="2" t="s">
        <v>15</v>
      </c>
      <c r="B5" t="s">
        <v>26</v>
      </c>
      <c r="C5">
        <f>60*4.5</f>
        <v>270</v>
      </c>
      <c r="D5">
        <v>150</v>
      </c>
      <c r="E5">
        <f t="shared" ref="E5:E12" si="1">C5+D5</f>
        <v>420</v>
      </c>
      <c r="F5">
        <v>32.799999999999997</v>
      </c>
      <c r="G5">
        <v>35</v>
      </c>
    </row>
    <row r="6" spans="1:7" x14ac:dyDescent="0.45">
      <c r="A6" s="2" t="s">
        <v>15</v>
      </c>
      <c r="B6" t="s">
        <v>16</v>
      </c>
      <c r="C6">
        <v>300</v>
      </c>
      <c r="D6">
        <v>150</v>
      </c>
      <c r="E6">
        <f t="shared" si="1"/>
        <v>450</v>
      </c>
      <c r="F6">
        <v>32.799999999999997</v>
      </c>
      <c r="G6">
        <v>35</v>
      </c>
    </row>
    <row r="7" spans="1:7" x14ac:dyDescent="0.45">
      <c r="A7" s="2" t="s">
        <v>15</v>
      </c>
      <c r="B7" t="s">
        <v>27</v>
      </c>
      <c r="C7">
        <v>60</v>
      </c>
      <c r="D7">
        <v>60</v>
      </c>
      <c r="E7">
        <f t="shared" si="1"/>
        <v>120</v>
      </c>
      <c r="F7">
        <v>32.799999999999997</v>
      </c>
      <c r="G7">
        <v>35</v>
      </c>
    </row>
    <row r="8" spans="1:7" x14ac:dyDescent="0.45">
      <c r="A8" s="2" t="s">
        <v>15</v>
      </c>
      <c r="B8" t="s">
        <v>25</v>
      </c>
      <c r="C8">
        <v>60</v>
      </c>
      <c r="D8">
        <v>150</v>
      </c>
      <c r="E8">
        <f t="shared" si="1"/>
        <v>210</v>
      </c>
      <c r="F8">
        <v>32.799999999999997</v>
      </c>
      <c r="G8">
        <v>35</v>
      </c>
    </row>
    <row r="9" spans="1:7" x14ac:dyDescent="0.45">
      <c r="A9" s="2" t="s">
        <v>15</v>
      </c>
      <c r="B9" t="s">
        <v>23</v>
      </c>
      <c r="C9">
        <v>90</v>
      </c>
      <c r="D9">
        <v>150</v>
      </c>
      <c r="E9">
        <f t="shared" si="1"/>
        <v>240</v>
      </c>
      <c r="F9">
        <v>32.799999999999997</v>
      </c>
      <c r="G9">
        <v>35</v>
      </c>
    </row>
    <row r="10" spans="1:7" x14ac:dyDescent="0.45">
      <c r="A10" s="2" t="s">
        <v>15</v>
      </c>
      <c r="B10" t="s">
        <v>20</v>
      </c>
      <c r="C10">
        <v>120</v>
      </c>
      <c r="D10">
        <f>60*2.5</f>
        <v>150</v>
      </c>
      <c r="E10">
        <f t="shared" si="1"/>
        <v>270</v>
      </c>
      <c r="F10">
        <v>32.799999999999997</v>
      </c>
      <c r="G10">
        <v>35</v>
      </c>
    </row>
    <row r="11" spans="1:7" x14ac:dyDescent="0.45">
      <c r="A11" s="2" t="s">
        <v>15</v>
      </c>
      <c r="B11" t="s">
        <v>18</v>
      </c>
      <c r="C11">
        <v>150</v>
      </c>
      <c r="D11">
        <v>150</v>
      </c>
      <c r="E11">
        <f t="shared" si="1"/>
        <v>300</v>
      </c>
      <c r="F11">
        <v>32.799999999999997</v>
      </c>
      <c r="G11">
        <v>35</v>
      </c>
    </row>
    <row r="12" spans="1:7" x14ac:dyDescent="0.45">
      <c r="A12" s="2" t="s">
        <v>10</v>
      </c>
      <c r="B12" t="s">
        <v>11</v>
      </c>
      <c r="C12">
        <v>60</v>
      </c>
      <c r="D12">
        <v>60</v>
      </c>
      <c r="E12">
        <f t="shared" si="1"/>
        <v>120</v>
      </c>
      <c r="F12">
        <v>8</v>
      </c>
      <c r="G12">
        <v>10</v>
      </c>
    </row>
    <row r="13" spans="1:7" x14ac:dyDescent="0.45">
      <c r="A13" s="2" t="s">
        <v>10</v>
      </c>
      <c r="B13" t="s">
        <v>12</v>
      </c>
      <c r="C13">
        <v>60</v>
      </c>
      <c r="D13">
        <v>60</v>
      </c>
      <c r="E13">
        <f t="shared" ref="E13:E34" si="2">C13+D13</f>
        <v>120</v>
      </c>
      <c r="F13">
        <v>8</v>
      </c>
      <c r="G13">
        <v>10</v>
      </c>
    </row>
    <row r="14" spans="1:7" x14ac:dyDescent="0.45">
      <c r="A14" s="2" t="s">
        <v>32</v>
      </c>
      <c r="B14" t="s">
        <v>47</v>
      </c>
      <c r="C14">
        <v>60</v>
      </c>
      <c r="D14">
        <v>180</v>
      </c>
      <c r="E14">
        <f t="shared" si="2"/>
        <v>240</v>
      </c>
      <c r="F14">
        <v>8</v>
      </c>
      <c r="G14">
        <v>10</v>
      </c>
    </row>
    <row r="15" spans="1:7" x14ac:dyDescent="0.45">
      <c r="A15" s="2" t="s">
        <v>32</v>
      </c>
      <c r="B15" t="s">
        <v>34</v>
      </c>
      <c r="C15">
        <v>90</v>
      </c>
      <c r="D15">
        <v>180</v>
      </c>
      <c r="E15">
        <f t="shared" si="2"/>
        <v>270</v>
      </c>
      <c r="F15">
        <v>8</v>
      </c>
      <c r="G15">
        <v>10</v>
      </c>
    </row>
    <row r="16" spans="1:7" x14ac:dyDescent="0.45">
      <c r="A16" s="2" t="s">
        <v>32</v>
      </c>
      <c r="B16" t="s">
        <v>51</v>
      </c>
      <c r="C16">
        <v>90</v>
      </c>
      <c r="D16">
        <v>180</v>
      </c>
      <c r="E16">
        <f t="shared" si="2"/>
        <v>270</v>
      </c>
      <c r="F16">
        <v>8</v>
      </c>
      <c r="G16">
        <v>10</v>
      </c>
    </row>
    <row r="17" spans="1:7" x14ac:dyDescent="0.45">
      <c r="A17" s="2" t="s">
        <v>32</v>
      </c>
      <c r="B17" t="s">
        <v>46</v>
      </c>
      <c r="C17">
        <v>120</v>
      </c>
      <c r="D17">
        <v>180</v>
      </c>
      <c r="E17">
        <f t="shared" si="2"/>
        <v>300</v>
      </c>
      <c r="F17">
        <v>8</v>
      </c>
      <c r="G17">
        <v>10</v>
      </c>
    </row>
    <row r="18" spans="1:7" x14ac:dyDescent="0.45">
      <c r="A18" s="2" t="s">
        <v>32</v>
      </c>
      <c r="B18" t="s">
        <v>39</v>
      </c>
      <c r="C18">
        <v>120</v>
      </c>
      <c r="D18">
        <v>180</v>
      </c>
      <c r="E18">
        <f t="shared" si="2"/>
        <v>300</v>
      </c>
      <c r="F18">
        <v>8</v>
      </c>
      <c r="G18">
        <v>10</v>
      </c>
    </row>
    <row r="19" spans="1:7" x14ac:dyDescent="0.45">
      <c r="A19" s="2" t="s">
        <v>32</v>
      </c>
      <c r="B19" t="s">
        <v>41</v>
      </c>
      <c r="C19">
        <v>150</v>
      </c>
      <c r="D19">
        <v>180</v>
      </c>
      <c r="E19">
        <f t="shared" si="2"/>
        <v>330</v>
      </c>
      <c r="F19">
        <v>8</v>
      </c>
      <c r="G19">
        <v>10</v>
      </c>
    </row>
    <row r="20" spans="1:7" x14ac:dyDescent="0.45">
      <c r="A20" s="2" t="s">
        <v>32</v>
      </c>
      <c r="B20" t="s">
        <v>52</v>
      </c>
      <c r="C20">
        <v>150</v>
      </c>
      <c r="D20">
        <v>180</v>
      </c>
      <c r="E20">
        <f t="shared" si="2"/>
        <v>330</v>
      </c>
      <c r="F20">
        <v>8</v>
      </c>
      <c r="G20">
        <v>10</v>
      </c>
    </row>
    <row r="21" spans="1:7" x14ac:dyDescent="0.45">
      <c r="A21" s="2" t="s">
        <v>32</v>
      </c>
      <c r="B21" t="s">
        <v>50</v>
      </c>
      <c r="C21">
        <v>180</v>
      </c>
      <c r="D21">
        <v>180</v>
      </c>
      <c r="E21">
        <f t="shared" si="2"/>
        <v>360</v>
      </c>
      <c r="F21">
        <v>8</v>
      </c>
      <c r="G21">
        <v>10</v>
      </c>
    </row>
    <row r="22" spans="1:7" x14ac:dyDescent="0.45">
      <c r="A22" s="2" t="s">
        <v>32</v>
      </c>
      <c r="B22" t="s">
        <v>36</v>
      </c>
      <c r="C22">
        <v>180</v>
      </c>
      <c r="D22">
        <v>180</v>
      </c>
      <c r="E22">
        <f t="shared" si="2"/>
        <v>360</v>
      </c>
      <c r="F22">
        <v>8</v>
      </c>
      <c r="G22">
        <v>10</v>
      </c>
    </row>
    <row r="23" spans="1:7" x14ac:dyDescent="0.45">
      <c r="A23" s="2" t="s">
        <v>32</v>
      </c>
      <c r="B23" t="s">
        <v>53</v>
      </c>
      <c r="C23">
        <v>210</v>
      </c>
      <c r="D23">
        <v>180</v>
      </c>
      <c r="E23">
        <f t="shared" si="2"/>
        <v>390</v>
      </c>
      <c r="F23">
        <v>8</v>
      </c>
      <c r="G23">
        <v>10</v>
      </c>
    </row>
    <row r="24" spans="1:7" x14ac:dyDescent="0.45">
      <c r="A24" s="2" t="s">
        <v>32</v>
      </c>
      <c r="B24" t="s">
        <v>40</v>
      </c>
      <c r="C24">
        <v>210</v>
      </c>
      <c r="D24">
        <v>180</v>
      </c>
      <c r="E24">
        <f t="shared" si="2"/>
        <v>390</v>
      </c>
      <c r="F24">
        <v>8</v>
      </c>
      <c r="G24">
        <v>10</v>
      </c>
    </row>
    <row r="25" spans="1:7" x14ac:dyDescent="0.45">
      <c r="A25" s="2" t="s">
        <v>32</v>
      </c>
      <c r="B25" t="s">
        <v>43</v>
      </c>
      <c r="C25">
        <v>240</v>
      </c>
      <c r="D25">
        <v>180</v>
      </c>
      <c r="E25">
        <f t="shared" si="2"/>
        <v>420</v>
      </c>
      <c r="F25">
        <v>8</v>
      </c>
      <c r="G25">
        <v>10</v>
      </c>
    </row>
    <row r="26" spans="1:7" x14ac:dyDescent="0.45">
      <c r="A26" s="2" t="s">
        <v>32</v>
      </c>
      <c r="B26" t="s">
        <v>42</v>
      </c>
      <c r="C26">
        <v>270</v>
      </c>
      <c r="D26">
        <v>180</v>
      </c>
      <c r="E26">
        <f t="shared" si="2"/>
        <v>450</v>
      </c>
      <c r="F26">
        <v>8</v>
      </c>
      <c r="G26">
        <v>10</v>
      </c>
    </row>
    <row r="27" spans="1:7" x14ac:dyDescent="0.45">
      <c r="A27" s="2" t="s">
        <v>32</v>
      </c>
      <c r="B27" t="s">
        <v>45</v>
      </c>
      <c r="C27">
        <v>270</v>
      </c>
      <c r="D27">
        <v>180</v>
      </c>
      <c r="E27">
        <f t="shared" si="2"/>
        <v>450</v>
      </c>
      <c r="F27">
        <v>8</v>
      </c>
      <c r="G27">
        <v>10</v>
      </c>
    </row>
    <row r="28" spans="1:7" x14ac:dyDescent="0.45">
      <c r="A28" s="2" t="s">
        <v>32</v>
      </c>
      <c r="B28" t="s">
        <v>44</v>
      </c>
      <c r="C28">
        <v>300</v>
      </c>
      <c r="D28">
        <v>180</v>
      </c>
      <c r="E28">
        <f t="shared" si="2"/>
        <v>480</v>
      </c>
      <c r="F28">
        <v>8</v>
      </c>
      <c r="G28">
        <v>10</v>
      </c>
    </row>
    <row r="29" spans="1:7" x14ac:dyDescent="0.45">
      <c r="A29" s="2" t="s">
        <v>32</v>
      </c>
      <c r="B29" t="s">
        <v>38</v>
      </c>
      <c r="C29">
        <v>300</v>
      </c>
      <c r="D29">
        <v>180</v>
      </c>
      <c r="E29">
        <f t="shared" si="2"/>
        <v>480</v>
      </c>
      <c r="F29">
        <v>8</v>
      </c>
      <c r="G29">
        <v>10</v>
      </c>
    </row>
    <row r="30" spans="1:7" x14ac:dyDescent="0.45">
      <c r="A30" s="2" t="s">
        <v>32</v>
      </c>
      <c r="B30" t="s">
        <v>37</v>
      </c>
      <c r="C30">
        <v>60</v>
      </c>
      <c r="D30">
        <v>60</v>
      </c>
      <c r="E30">
        <f t="shared" si="2"/>
        <v>120</v>
      </c>
      <c r="F30">
        <v>8</v>
      </c>
      <c r="G30">
        <v>10</v>
      </c>
    </row>
    <row r="31" spans="1:7" x14ac:dyDescent="0.45">
      <c r="A31" s="2" t="s">
        <v>32</v>
      </c>
      <c r="B31" t="s">
        <v>35</v>
      </c>
      <c r="C31">
        <v>60</v>
      </c>
      <c r="D31">
        <v>60</v>
      </c>
      <c r="E31">
        <f t="shared" si="2"/>
        <v>120</v>
      </c>
      <c r="F31">
        <v>8</v>
      </c>
      <c r="G31">
        <v>10</v>
      </c>
    </row>
    <row r="32" spans="1:7" x14ac:dyDescent="0.45">
      <c r="A32" s="2" t="s">
        <v>32</v>
      </c>
      <c r="B32" t="s">
        <v>33</v>
      </c>
      <c r="C32">
        <v>60</v>
      </c>
      <c r="D32">
        <v>120</v>
      </c>
      <c r="E32">
        <f t="shared" si="2"/>
        <v>180</v>
      </c>
      <c r="F32">
        <v>8</v>
      </c>
      <c r="G32">
        <v>10</v>
      </c>
    </row>
    <row r="33" spans="1:7" x14ac:dyDescent="0.45">
      <c r="A33" s="2" t="s">
        <v>32</v>
      </c>
      <c r="B33" t="s">
        <v>49</v>
      </c>
      <c r="C33">
        <v>60</v>
      </c>
      <c r="D33">
        <v>120</v>
      </c>
      <c r="E33">
        <f t="shared" si="2"/>
        <v>180</v>
      </c>
      <c r="F33">
        <v>8</v>
      </c>
      <c r="G33">
        <v>10</v>
      </c>
    </row>
    <row r="34" spans="1:7" x14ac:dyDescent="0.45">
      <c r="A34" s="2" t="s">
        <v>32</v>
      </c>
      <c r="B34" t="s">
        <v>48</v>
      </c>
      <c r="C34">
        <v>60</v>
      </c>
      <c r="D34">
        <v>180</v>
      </c>
      <c r="E34">
        <f t="shared" si="2"/>
        <v>240</v>
      </c>
      <c r="F34">
        <v>8</v>
      </c>
      <c r="G34">
        <v>10</v>
      </c>
    </row>
    <row r="35" spans="1:7" x14ac:dyDescent="0.45">
      <c r="A35" s="2" t="s">
        <v>54</v>
      </c>
      <c r="B35" t="s">
        <v>58</v>
      </c>
      <c r="C35">
        <v>60</v>
      </c>
      <c r="D35">
        <v>60</v>
      </c>
      <c r="E35">
        <f>C35+D35+60</f>
        <v>180</v>
      </c>
      <c r="F35">
        <v>8</v>
      </c>
      <c r="G35">
        <v>10</v>
      </c>
    </row>
    <row r="36" spans="1:7" x14ac:dyDescent="0.45">
      <c r="A36" s="2" t="s">
        <v>54</v>
      </c>
      <c r="B36" t="s">
        <v>62</v>
      </c>
      <c r="C36">
        <v>60</v>
      </c>
      <c r="D36">
        <v>90</v>
      </c>
      <c r="E36">
        <f>C36+D36+60</f>
        <v>210</v>
      </c>
      <c r="F36">
        <v>8</v>
      </c>
      <c r="G36">
        <v>10</v>
      </c>
    </row>
    <row r="37" spans="1:7" x14ac:dyDescent="0.45">
      <c r="A37" s="2" t="s">
        <v>54</v>
      </c>
      <c r="B37" t="s">
        <v>57</v>
      </c>
      <c r="C37">
        <v>60</v>
      </c>
      <c r="D37">
        <v>90</v>
      </c>
      <c r="E37">
        <f>C37+D37+70</f>
        <v>220</v>
      </c>
      <c r="F37">
        <v>8</v>
      </c>
      <c r="G37">
        <v>10</v>
      </c>
    </row>
    <row r="38" spans="1:7" x14ac:dyDescent="0.45">
      <c r="A38" s="2" t="s">
        <v>54</v>
      </c>
      <c r="B38" t="s">
        <v>59</v>
      </c>
      <c r="C38">
        <v>60</v>
      </c>
      <c r="D38">
        <v>120</v>
      </c>
      <c r="E38">
        <f>C38+D38+80</f>
        <v>260</v>
      </c>
      <c r="F38">
        <v>8</v>
      </c>
      <c r="G38">
        <v>10</v>
      </c>
    </row>
    <row r="39" spans="1:7" x14ac:dyDescent="0.45">
      <c r="A39" s="2" t="s">
        <v>54</v>
      </c>
      <c r="B39" t="s">
        <v>60</v>
      </c>
      <c r="C39">
        <v>60</v>
      </c>
      <c r="D39">
        <v>150</v>
      </c>
      <c r="E39">
        <f>C39+D39+80</f>
        <v>290</v>
      </c>
      <c r="F39">
        <v>8</v>
      </c>
      <c r="G39">
        <v>10</v>
      </c>
    </row>
    <row r="40" spans="1:7" x14ac:dyDescent="0.45">
      <c r="A40" s="2" t="s">
        <v>54</v>
      </c>
      <c r="B40" t="s">
        <v>61</v>
      </c>
      <c r="C40">
        <v>90</v>
      </c>
      <c r="D40">
        <v>150</v>
      </c>
      <c r="E40">
        <f>C40+D40+80</f>
        <v>320</v>
      </c>
      <c r="F40">
        <v>8</v>
      </c>
      <c r="G40">
        <v>10</v>
      </c>
    </row>
    <row r="41" spans="1:7" x14ac:dyDescent="0.45">
      <c r="A41" s="2" t="s">
        <v>54</v>
      </c>
      <c r="B41" t="s">
        <v>56</v>
      </c>
      <c r="C41">
        <v>120</v>
      </c>
      <c r="D41">
        <v>150</v>
      </c>
      <c r="E41">
        <f>C41+D41+80</f>
        <v>350</v>
      </c>
      <c r="F41">
        <v>8</v>
      </c>
      <c r="G41">
        <v>10</v>
      </c>
    </row>
    <row r="42" spans="1:7" x14ac:dyDescent="0.45">
      <c r="A42" s="2" t="s">
        <v>54</v>
      </c>
      <c r="B42" t="s">
        <v>55</v>
      </c>
      <c r="C42">
        <v>120</v>
      </c>
      <c r="D42">
        <v>150</v>
      </c>
      <c r="E42">
        <f>C42+D42+100</f>
        <v>370</v>
      </c>
      <c r="F42">
        <v>8</v>
      </c>
      <c r="G42">
        <v>10</v>
      </c>
    </row>
    <row r="43" spans="1:7" x14ac:dyDescent="0.45">
      <c r="A43" s="2" t="s">
        <v>13</v>
      </c>
      <c r="B43" t="s">
        <v>14</v>
      </c>
      <c r="C43">
        <v>60</v>
      </c>
      <c r="D43">
        <v>240</v>
      </c>
      <c r="E43">
        <f>C43+D43</f>
        <v>300</v>
      </c>
      <c r="F43">
        <v>8</v>
      </c>
      <c r="G43">
        <v>10</v>
      </c>
    </row>
    <row r="44" spans="1:7" x14ac:dyDescent="0.45">
      <c r="A44" s="2" t="s">
        <v>21</v>
      </c>
      <c r="B44" t="s">
        <v>28</v>
      </c>
      <c r="C44">
        <v>60</v>
      </c>
      <c r="D44">
        <v>180</v>
      </c>
      <c r="E44">
        <f t="shared" ref="E44:E55" si="3">C44+D44</f>
        <v>240</v>
      </c>
      <c r="F44">
        <v>5</v>
      </c>
      <c r="G44">
        <v>5</v>
      </c>
    </row>
    <row r="45" spans="1:7" x14ac:dyDescent="0.45">
      <c r="A45" s="2" t="s">
        <v>21</v>
      </c>
      <c r="B45" t="s">
        <v>22</v>
      </c>
      <c r="C45">
        <v>60</v>
      </c>
      <c r="D45">
        <v>180</v>
      </c>
      <c r="E45">
        <f t="shared" si="3"/>
        <v>240</v>
      </c>
      <c r="F45">
        <v>5</v>
      </c>
      <c r="G45">
        <v>5</v>
      </c>
    </row>
    <row r="46" spans="1:7" x14ac:dyDescent="0.45">
      <c r="A46" s="2" t="s">
        <v>21</v>
      </c>
      <c r="B46" t="s">
        <v>30</v>
      </c>
      <c r="C46">
        <v>90</v>
      </c>
      <c r="D46">
        <v>180</v>
      </c>
      <c r="E46">
        <f t="shared" si="3"/>
        <v>270</v>
      </c>
      <c r="F46">
        <v>5</v>
      </c>
      <c r="G46">
        <v>5</v>
      </c>
    </row>
    <row r="47" spans="1:7" x14ac:dyDescent="0.45">
      <c r="A47" s="2" t="s">
        <v>21</v>
      </c>
      <c r="B47" t="s">
        <v>31</v>
      </c>
      <c r="C47">
        <v>90</v>
      </c>
      <c r="D47">
        <v>180</v>
      </c>
      <c r="E47">
        <f t="shared" si="3"/>
        <v>270</v>
      </c>
      <c r="F47">
        <v>5</v>
      </c>
      <c r="G47">
        <v>5</v>
      </c>
    </row>
    <row r="48" spans="1:7" x14ac:dyDescent="0.45">
      <c r="A48" s="2" t="s">
        <v>21</v>
      </c>
      <c r="B48" t="s">
        <v>29</v>
      </c>
      <c r="C48">
        <v>120</v>
      </c>
      <c r="D48">
        <v>180</v>
      </c>
      <c r="E48">
        <f t="shared" si="3"/>
        <v>300</v>
      </c>
      <c r="F48">
        <v>5</v>
      </c>
      <c r="G48">
        <v>5</v>
      </c>
    </row>
    <row r="49" spans="1:7" x14ac:dyDescent="0.45">
      <c r="A49" s="2" t="s">
        <v>2</v>
      </c>
      <c r="B49" t="s">
        <v>8</v>
      </c>
      <c r="C49">
        <v>270</v>
      </c>
      <c r="D49">
        <v>180</v>
      </c>
      <c r="E49">
        <f t="shared" si="3"/>
        <v>450</v>
      </c>
      <c r="F49">
        <v>5</v>
      </c>
      <c r="G49">
        <v>5</v>
      </c>
    </row>
    <row r="50" spans="1:7" x14ac:dyDescent="0.45">
      <c r="A50" s="2" t="s">
        <v>2</v>
      </c>
      <c r="B50" t="s">
        <v>7</v>
      </c>
      <c r="C50">
        <v>300</v>
      </c>
      <c r="D50">
        <v>180</v>
      </c>
      <c r="E50">
        <f t="shared" si="3"/>
        <v>480</v>
      </c>
      <c r="F50">
        <v>5</v>
      </c>
      <c r="G50">
        <v>5</v>
      </c>
    </row>
    <row r="51" spans="1:7" x14ac:dyDescent="0.45">
      <c r="A51" s="2" t="s">
        <v>2</v>
      </c>
      <c r="B51" t="s">
        <v>5</v>
      </c>
      <c r="C51">
        <v>300</v>
      </c>
      <c r="D51">
        <v>180</v>
      </c>
      <c r="E51">
        <f t="shared" si="3"/>
        <v>480</v>
      </c>
      <c r="F51">
        <v>5</v>
      </c>
      <c r="G51">
        <v>5</v>
      </c>
    </row>
    <row r="52" spans="1:7" x14ac:dyDescent="0.45">
      <c r="A52" s="2" t="s">
        <v>2</v>
      </c>
      <c r="B52" t="s">
        <v>4</v>
      </c>
      <c r="C52">
        <v>210</v>
      </c>
      <c r="D52">
        <v>180</v>
      </c>
      <c r="E52">
        <f t="shared" si="3"/>
        <v>390</v>
      </c>
      <c r="F52">
        <v>5</v>
      </c>
      <c r="G52">
        <v>5</v>
      </c>
    </row>
    <row r="53" spans="1:7" x14ac:dyDescent="0.45">
      <c r="A53" s="2" t="s">
        <v>2</v>
      </c>
      <c r="B53" t="s">
        <v>9</v>
      </c>
      <c r="C53">
        <v>240</v>
      </c>
      <c r="D53">
        <v>180</v>
      </c>
      <c r="E53">
        <f t="shared" si="3"/>
        <v>420</v>
      </c>
      <c r="F53">
        <v>5</v>
      </c>
      <c r="G53">
        <v>5</v>
      </c>
    </row>
    <row r="54" spans="1:7" x14ac:dyDescent="0.45">
      <c r="A54" s="2" t="s">
        <v>2</v>
      </c>
      <c r="B54" t="s">
        <v>3</v>
      </c>
      <c r="C54">
        <v>240</v>
      </c>
      <c r="D54">
        <v>180</v>
      </c>
      <c r="E54">
        <f t="shared" si="3"/>
        <v>420</v>
      </c>
      <c r="F54">
        <v>5</v>
      </c>
      <c r="G54">
        <v>5</v>
      </c>
    </row>
    <row r="55" spans="1:7" x14ac:dyDescent="0.45">
      <c r="A55" s="2" t="s">
        <v>2</v>
      </c>
      <c r="B55" t="s">
        <v>6</v>
      </c>
      <c r="C55">
        <v>270</v>
      </c>
      <c r="D55">
        <v>180</v>
      </c>
      <c r="E55">
        <f t="shared" si="3"/>
        <v>450</v>
      </c>
      <c r="F55">
        <v>5</v>
      </c>
      <c r="G55">
        <v>5</v>
      </c>
    </row>
  </sheetData>
  <sortState xmlns:xlrd2="http://schemas.microsoft.com/office/spreadsheetml/2017/richdata2" ref="A2:E61">
    <sortCondition ref="A2:A61"/>
    <sortCondition ref="B2:B61"/>
  </sortState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2025-11-24T15:42:06Z</dcterms:created>
  <dcterms:modified xsi:type="dcterms:W3CDTF">2025-11-24T20:40:07Z</dcterms:modified>
</cp:coreProperties>
</file>